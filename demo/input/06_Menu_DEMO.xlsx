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cc_bk\ai\projectAttacker2026\projectAttacker2026\dataset\12_8\A_Cutoff_2026-08-12\"/>
    </mc:Choice>
  </mc:AlternateContent>
  <xr:revisionPtr revIDLastSave="0" documentId="13_ncr:1_{89B038A4-1E2B-4BF9-9E35-EDA4DBF4E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_Me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H11" i="1"/>
  <c r="I11" i="1" s="1"/>
  <c r="F11" i="1"/>
  <c r="F10" i="1"/>
  <c r="H9" i="1"/>
  <c r="F9" i="1"/>
  <c r="I9" i="1" s="1"/>
  <c r="H8" i="1"/>
  <c r="I8" i="1" s="1"/>
  <c r="H7" i="1"/>
  <c r="I7" i="1" s="1"/>
  <c r="H6" i="1"/>
  <c r="I6" i="1" s="1"/>
  <c r="H5" i="1"/>
  <c r="I5" i="1" s="1"/>
  <c r="H4" i="1"/>
  <c r="I4" i="1" s="1"/>
  <c r="H10" i="1" l="1"/>
  <c r="I10" i="1" s="1"/>
  <c r="H12" i="1"/>
  <c r="I12" i="1" s="1"/>
  <c r="H13" i="1"/>
  <c r="I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tc={41D2B537-57DA-C683-7B28-79139C1A524A}</author>
  </authors>
  <commentList>
    <comment ref="G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Mức giảm 8–10% là giả định đề xuất, tham chiếu các chiến dịch “Weekend Combo” và “Combo cuối tuần” trong 01_POS_Export_2026(1).xlsx và 05_Context_Calendar(1).xlsx.</t>
      </text>
    </comment>
  </commentList>
</comments>
</file>

<file path=xl/sharedStrings.xml><?xml version="1.0" encoding="utf-8"?>
<sst xmlns="http://schemas.openxmlformats.org/spreadsheetml/2006/main" count="72" uniqueCount="43">
  <si>
    <t>DANH MỤC MENU — MÓN LẺ &amp; COMBO</t>
  </si>
  <si>
    <t>Mã món</t>
  </si>
  <si>
    <t>Loại</t>
  </si>
  <si>
    <t>Tên món / Combo</t>
  </si>
  <si>
    <t>Thành phần combo</t>
  </si>
  <si>
    <t>ĐVT</t>
  </si>
  <si>
    <t>Tổng giá lẻ</t>
  </si>
  <si>
    <t>Mức giảm</t>
  </si>
  <si>
    <t>Giá bán</t>
  </si>
  <si>
    <t>Tiết kiệm</t>
  </si>
  <si>
    <t>Trạng thái</t>
  </si>
  <si>
    <t>t1</t>
  </si>
  <si>
    <t>Món lẻ</t>
  </si>
  <si>
    <t>Sinh tố chuối</t>
  </si>
  <si>
    <t>—</t>
  </si>
  <si>
    <t>ly</t>
  </si>
  <si>
    <t>Đang bán</t>
  </si>
  <si>
    <t>t2</t>
  </si>
  <si>
    <t>Trà sữa trân châu</t>
  </si>
  <si>
    <t>t3</t>
  </si>
  <si>
    <t>Cà phê sữa</t>
  </si>
  <si>
    <t>t4</t>
  </si>
  <si>
    <t>Nước cam</t>
  </si>
  <si>
    <t>t5</t>
  </si>
  <si>
    <t>Matcha latte</t>
  </si>
  <si>
    <t>t6</t>
  </si>
  <si>
    <t>Combo</t>
  </si>
  <si>
    <t>Combo Cặp Đôi</t>
  </si>
  <si>
    <t>1 × Trà sữa trân châu + 1 × Cà phê sữa</t>
  </si>
  <si>
    <t>combo</t>
  </si>
  <si>
    <t>t7</t>
  </si>
  <si>
    <t>Combo Tươi Mát</t>
  </si>
  <si>
    <t>1 × Sinh tố chuối + 1 × Nước cam</t>
  </si>
  <si>
    <t>t8</t>
  </si>
  <si>
    <t>Combo Latte Lovers</t>
  </si>
  <si>
    <t>1 × Trà sữa trân châu + 1 × Matcha latte</t>
  </si>
  <si>
    <t>t9</t>
  </si>
  <si>
    <t>Combo Cà Phê Hội Bạn</t>
  </si>
  <si>
    <t>2 × Cà phê sữa + 1 × Trà sữa trân châu</t>
  </si>
  <si>
    <t>t10</t>
  </si>
  <si>
    <t>Combo Nhóm 3 Đủ Vị</t>
  </si>
  <si>
    <t>1 × Sinh tố chuối + 1 × Nước cam + 1 × Matcha latte</t>
  </si>
  <si>
    <t>5 món lẻ đang bán phục vụ forecast/procurement demo; combo được giữ làm dữ liệu UI nhưng tạm dừng để tránh đi vào BOM khi chưa có recipe combo.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</si>
</sst>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7">
    <font>
      <sz val="11"/>
      <name val="Carlito"/>
    </font>
    <font>
      <b/>
      <sz val="18"/>
      <color rgb="FFFFFFFF"/>
      <name val="Aptos Display"/>
    </font>
    <font>
      <i/>
      <sz val="11"/>
      <color rgb="FF315A74"/>
      <name val="Aptos"/>
    </font>
    <font>
      <b/>
      <sz val="11"/>
      <color rgb="FFFFFFFF"/>
      <name val="Aptos"/>
    </font>
    <font>
      <sz val="10"/>
      <color rgb="FF17202A"/>
      <name val="Aptos"/>
    </font>
    <font>
      <b/>
      <sz val="10"/>
      <color rgb="FF176B3A"/>
      <name val="Aptos"/>
    </font>
    <font>
      <sz val="10"/>
      <color rgb="FF8A5B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93A5A"/>
      </patternFill>
    </fill>
    <fill>
      <patternFill patternType="solid">
        <fgColor rgb="FFE8F5FA"/>
      </patternFill>
    </fill>
    <fill>
      <patternFill patternType="solid">
        <fgColor rgb="FF247C9B"/>
      </patternFill>
    </fill>
    <fill>
      <patternFill patternType="solid">
        <fgColor rgb="FFBFE5F3"/>
      </patternFill>
    </fill>
    <fill>
      <patternFill patternType="solid">
        <fgColor rgb="FFE3F3E8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 style="thin">
        <color rgb="FF42B6E6"/>
      </left>
      <right style="thin">
        <color rgb="FF42B6E6"/>
      </right>
      <top style="thin">
        <color rgb="FF42B6E6"/>
      </top>
      <bottom style="thin">
        <color rgb="FF42B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9" fontId="4" fillId="5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152400</xdr:colOff>
      <xdr:row>27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27</xdr:row>
      <xdr:rowOff>121920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5AB5815-586D-0AE5-7940-289012B40A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9C221549-16A6-4A47-A403-6C7C66106C9F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uTable" displayName="MenuTable" ref="A3:J13" totalsRowShown="0">
  <autoFilter ref="A3:J13" xr:uid="{00000000-0009-0000-0100-000001000000}"/>
  <tableColumns count="10">
    <tableColumn id="1" xr3:uid="{00000000-0010-0000-0000-000001000000}" name="Mã món"/>
    <tableColumn id="2" xr3:uid="{00000000-0010-0000-0000-000002000000}" name="Loại"/>
    <tableColumn id="3" xr3:uid="{00000000-0010-0000-0000-000003000000}" name="Tên món / Combo"/>
    <tableColumn id="4" xr3:uid="{00000000-0010-0000-0000-000004000000}" name="Thành phần combo"/>
    <tableColumn id="5" xr3:uid="{00000000-0010-0000-0000-000005000000}" name="ĐVT"/>
    <tableColumn id="6" xr3:uid="{00000000-0010-0000-0000-000006000000}" name="Tổng giá lẻ"/>
    <tableColumn id="7" xr3:uid="{00000000-0010-0000-0000-000007000000}" name="Mức giảm"/>
    <tableColumn id="8" xr3:uid="{00000000-0010-0000-0000-000008000000}" name="Giá bán"/>
    <tableColumn id="9" xr3:uid="{00000000-0010-0000-0000-000009000000}" name="Tiết kiệm"/>
    <tableColumn id="10" xr3:uid="{00000000-0010-0000-0000-00000A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7-29T11:05:50.58" personId="{9C221549-16A6-4A47-A403-6C7C66106C9F}" id="{41D2B537-57DA-C683-7B28-79139C1A524A}">
    <text>Mức giảm 8–10% là giả định đề xuất, tham chiếu các chiến dịch “Weekend Combo” và “Combo cuối tuần” trong 01_POS_Export_2026(1).xlsx và 05_Context_Calendar(1).xlsx.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selection activeCell="J12" sqref="J12"/>
    </sheetView>
  </sheetViews>
  <sheetFormatPr defaultColWidth="8.796875" defaultRowHeight="13.8"/>
  <cols>
    <col min="1" max="1" width="13" customWidth="1"/>
    <col min="2" max="2" width="12" customWidth="1"/>
    <col min="3" max="3" width="25" customWidth="1"/>
    <col min="4" max="4" width="48" customWidth="1"/>
    <col min="5" max="5" width="10" customWidth="1"/>
    <col min="6" max="6" width="16" customWidth="1"/>
    <col min="7" max="7" width="12" customWidth="1"/>
    <col min="8" max="8" width="16" customWidth="1"/>
    <col min="9" max="10" width="14" customWidth="1"/>
  </cols>
  <sheetData>
    <row r="1" spans="1:10" ht="34.049999999999997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>
      <c r="A2" s="15" t="s">
        <v>42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4.04999999999999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30" customHeight="1">
      <c r="A4" s="4" t="s">
        <v>11</v>
      </c>
      <c r="B4" s="4" t="s">
        <v>12</v>
      </c>
      <c r="C4" s="3" t="s">
        <v>13</v>
      </c>
      <c r="D4" s="12" t="s">
        <v>14</v>
      </c>
      <c r="E4" s="4" t="s">
        <v>15</v>
      </c>
      <c r="F4" s="6">
        <v>35000</v>
      </c>
      <c r="G4" s="8">
        <v>0</v>
      </c>
      <c r="H4" s="10">
        <f t="shared" ref="H4:H13" si="0">ROUND(F4*(1-G4),-3)</f>
        <v>35000</v>
      </c>
      <c r="I4" s="11">
        <f t="shared" ref="I4:I13" si="1">F4-H4</f>
        <v>0</v>
      </c>
      <c r="J4" s="4" t="s">
        <v>16</v>
      </c>
    </row>
    <row r="5" spans="1:10" ht="30" customHeight="1">
      <c r="A5" s="5" t="s">
        <v>17</v>
      </c>
      <c r="B5" s="5" t="s">
        <v>12</v>
      </c>
      <c r="C5" s="2" t="s">
        <v>18</v>
      </c>
      <c r="D5" s="13" t="s">
        <v>14</v>
      </c>
      <c r="E5" s="5" t="s">
        <v>15</v>
      </c>
      <c r="F5" s="7">
        <v>39000</v>
      </c>
      <c r="G5" s="9">
        <v>0</v>
      </c>
      <c r="H5" s="10">
        <f t="shared" si="0"/>
        <v>39000</v>
      </c>
      <c r="I5" s="11">
        <f t="shared" si="1"/>
        <v>0</v>
      </c>
      <c r="J5" s="5" t="s">
        <v>16</v>
      </c>
    </row>
    <row r="6" spans="1:10" ht="30" customHeight="1">
      <c r="A6" s="4" t="s">
        <v>19</v>
      </c>
      <c r="B6" s="4" t="s">
        <v>12</v>
      </c>
      <c r="C6" s="3" t="s">
        <v>20</v>
      </c>
      <c r="D6" s="12" t="s">
        <v>14</v>
      </c>
      <c r="E6" s="4" t="s">
        <v>15</v>
      </c>
      <c r="F6" s="6">
        <v>29000</v>
      </c>
      <c r="G6" s="8">
        <v>0</v>
      </c>
      <c r="H6" s="10">
        <f t="shared" si="0"/>
        <v>29000</v>
      </c>
      <c r="I6" s="11">
        <f t="shared" si="1"/>
        <v>0</v>
      </c>
      <c r="J6" s="4" t="s">
        <v>16</v>
      </c>
    </row>
    <row r="7" spans="1:10" ht="30" customHeight="1">
      <c r="A7" s="4" t="s">
        <v>21</v>
      </c>
      <c r="B7" s="5" t="s">
        <v>12</v>
      </c>
      <c r="C7" s="2" t="s">
        <v>22</v>
      </c>
      <c r="D7" s="13" t="s">
        <v>14</v>
      </c>
      <c r="E7" s="5" t="s">
        <v>15</v>
      </c>
      <c r="F7" s="7">
        <v>42000</v>
      </c>
      <c r="G7" s="9">
        <v>0</v>
      </c>
      <c r="H7" s="10">
        <f t="shared" si="0"/>
        <v>42000</v>
      </c>
      <c r="I7" s="11">
        <f t="shared" si="1"/>
        <v>0</v>
      </c>
      <c r="J7" s="5" t="s">
        <v>16</v>
      </c>
    </row>
    <row r="8" spans="1:10" ht="30" customHeight="1">
      <c r="A8" s="5" t="s">
        <v>23</v>
      </c>
      <c r="B8" s="4" t="s">
        <v>12</v>
      </c>
      <c r="C8" s="3" t="s">
        <v>24</v>
      </c>
      <c r="D8" s="12" t="s">
        <v>14</v>
      </c>
      <c r="E8" s="4" t="s">
        <v>15</v>
      </c>
      <c r="F8" s="6">
        <v>45000</v>
      </c>
      <c r="G8" s="8">
        <v>0</v>
      </c>
      <c r="H8" s="10">
        <f t="shared" si="0"/>
        <v>45000</v>
      </c>
      <c r="I8" s="11">
        <f t="shared" si="1"/>
        <v>0</v>
      </c>
      <c r="J8" s="4" t="s">
        <v>16</v>
      </c>
    </row>
    <row r="9" spans="1:10" ht="30" customHeight="1">
      <c r="A9" s="4" t="s">
        <v>25</v>
      </c>
      <c r="B9" s="5" t="s">
        <v>26</v>
      </c>
      <c r="C9" s="2" t="s">
        <v>27</v>
      </c>
      <c r="D9" s="13" t="s">
        <v>28</v>
      </c>
      <c r="E9" s="5" t="s">
        <v>29</v>
      </c>
      <c r="F9" s="7">
        <f>$F$5+$F$6</f>
        <v>68000</v>
      </c>
      <c r="G9" s="9">
        <v>0.09</v>
      </c>
      <c r="H9" s="10">
        <f t="shared" si="0"/>
        <v>62000</v>
      </c>
      <c r="I9" s="11">
        <f t="shared" si="1"/>
        <v>6000</v>
      </c>
      <c r="J9" s="5" t="s">
        <v>16</v>
      </c>
    </row>
    <row r="10" spans="1:10" ht="30" customHeight="1">
      <c r="A10" s="4" t="s">
        <v>30</v>
      </c>
      <c r="B10" s="4" t="s">
        <v>26</v>
      </c>
      <c r="C10" s="3" t="s">
        <v>31</v>
      </c>
      <c r="D10" s="12" t="s">
        <v>32</v>
      </c>
      <c r="E10" s="4" t="s">
        <v>29</v>
      </c>
      <c r="F10" s="6">
        <f>$F$4+$F$7</f>
        <v>77000</v>
      </c>
      <c r="G10" s="8">
        <v>0.09</v>
      </c>
      <c r="H10" s="10">
        <f t="shared" si="0"/>
        <v>70000</v>
      </c>
      <c r="I10" s="11">
        <f t="shared" si="1"/>
        <v>7000</v>
      </c>
      <c r="J10" s="4" t="s">
        <v>16</v>
      </c>
    </row>
    <row r="11" spans="1:10" ht="30" customHeight="1">
      <c r="A11" s="5" t="s">
        <v>33</v>
      </c>
      <c r="B11" s="5" t="s">
        <v>26</v>
      </c>
      <c r="C11" s="2" t="s">
        <v>34</v>
      </c>
      <c r="D11" s="13" t="s">
        <v>35</v>
      </c>
      <c r="E11" s="5" t="s">
        <v>29</v>
      </c>
      <c r="F11" s="7">
        <f>$F$5+$F$8</f>
        <v>84000</v>
      </c>
      <c r="G11" s="9">
        <v>0.1</v>
      </c>
      <c r="H11" s="10">
        <f t="shared" si="0"/>
        <v>76000</v>
      </c>
      <c r="I11" s="11">
        <f t="shared" si="1"/>
        <v>8000</v>
      </c>
      <c r="J11" s="5" t="s">
        <v>16</v>
      </c>
    </row>
    <row r="12" spans="1:10" ht="30" customHeight="1">
      <c r="A12" s="4" t="s">
        <v>36</v>
      </c>
      <c r="B12" s="4" t="s">
        <v>26</v>
      </c>
      <c r="C12" s="3" t="s">
        <v>37</v>
      </c>
      <c r="D12" s="12" t="s">
        <v>38</v>
      </c>
      <c r="E12" s="4" t="s">
        <v>29</v>
      </c>
      <c r="F12" s="6">
        <f>2*$F$6+$F$5</f>
        <v>97000</v>
      </c>
      <c r="G12" s="8">
        <v>0.08</v>
      </c>
      <c r="H12" s="10">
        <f t="shared" si="0"/>
        <v>89000</v>
      </c>
      <c r="I12" s="11">
        <f t="shared" si="1"/>
        <v>8000</v>
      </c>
      <c r="J12" s="4" t="s">
        <v>16</v>
      </c>
    </row>
    <row r="13" spans="1:10" ht="30" customHeight="1">
      <c r="A13" s="4" t="s">
        <v>39</v>
      </c>
      <c r="B13" s="5" t="s">
        <v>26</v>
      </c>
      <c r="C13" s="2" t="s">
        <v>40</v>
      </c>
      <c r="D13" s="13" t="s">
        <v>41</v>
      </c>
      <c r="E13" s="5" t="s">
        <v>29</v>
      </c>
      <c r="F13" s="7">
        <f>$F$4+$F$7+$F$8</f>
        <v>122000</v>
      </c>
      <c r="G13" s="9">
        <v>0.1</v>
      </c>
      <c r="H13" s="10">
        <f t="shared" si="0"/>
        <v>110000</v>
      </c>
      <c r="I13" s="11">
        <f t="shared" si="1"/>
        <v>12000</v>
      </c>
      <c r="J13" s="5" t="s">
        <v>16</v>
      </c>
    </row>
  </sheetData>
  <mergeCells count="2">
    <mergeCell ref="A1:J1"/>
    <mergeCell ref="A2:J2"/>
  </mergeCells>
  <dataValidations count="2">
    <dataValidation type="list" sqref="B4:B13" xr:uid="{00000000-0002-0000-0000-000000000000}">
      <formula1>"Món lẻ,Combo"</formula1>
    </dataValidation>
    <dataValidation type="list" sqref="J4:J13" xr:uid="{00000000-0002-0000-0000-000001000000}">
      <formula1>"Đang bán,Tạm ngưng"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Tran</cp:lastModifiedBy>
  <dcterms:modified xsi:type="dcterms:W3CDTF">2026-08-25T17:49:40Z</dcterms:modified>
</cp:coreProperties>
</file>